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NESH\Desktop\"/>
    </mc:Choice>
  </mc:AlternateContent>
  <xr:revisionPtr revIDLastSave="0" documentId="13_ncr:1_{97F013CC-F321-44D5-AF17-947557D4CC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2" r:id="rId1"/>
    <sheet name="Sheet3" sheetId="3" r:id="rId2"/>
    <sheet name="Sheet1" sheetId="1" r:id="rId3"/>
  </sheets>
  <definedNames>
    <definedName name="_xlchart.v1.0" hidden="1">Sheet1!$AG$6:$AG$9</definedName>
    <definedName name="_xlchart.v1.1" hidden="1">Sheet1!$AH$5</definedName>
    <definedName name="_xlchart.v1.10" hidden="1">Sheet1!$AG$6:$AG$9</definedName>
    <definedName name="_xlchart.v1.11" hidden="1">Sheet1!$AH$5</definedName>
    <definedName name="_xlchart.v1.12" hidden="1">Sheet1!$AH$6:$AH$9</definedName>
    <definedName name="_xlchart.v1.13" hidden="1">Sheet1!$AI$5</definedName>
    <definedName name="_xlchart.v1.14" hidden="1">Sheet1!$AI$6:$AI$9</definedName>
    <definedName name="_xlchart.v1.2" hidden="1">Sheet1!$AH$6:$AH$9</definedName>
    <definedName name="_xlchart.v1.3" hidden="1">Sheet1!$AI$5</definedName>
    <definedName name="_xlchart.v1.4" hidden="1">Sheet1!$AI$6:$AI$9</definedName>
    <definedName name="_xlchart.v1.5" hidden="1">Sheet1!$AX$5:$AX$8</definedName>
    <definedName name="_xlchart.v1.6" hidden="1">Sheet1!$AY$4</definedName>
    <definedName name="_xlchart.v1.7" hidden="1">Sheet1!$AY$5:$AY$8</definedName>
    <definedName name="_xlchart.v1.8" hidden="1">Sheet1!$AZ$4</definedName>
    <definedName name="_xlchart.v1.9" hidden="1">Sheet1!$AZ$6:$AZ$9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" l="1"/>
  <c r="Y45" i="1"/>
  <c r="Z44" i="1"/>
  <c r="Z43" i="1"/>
  <c r="X43" i="1"/>
  <c r="Y40" i="1"/>
  <c r="Y39" i="1"/>
  <c r="Y38" i="1"/>
  <c r="Y37" i="1"/>
  <c r="AA36" i="1"/>
  <c r="AB33" i="1"/>
  <c r="AB32" i="1"/>
  <c r="AA31" i="1"/>
  <c r="AB30" i="1"/>
  <c r="BF6" i="1"/>
  <c r="BN8" i="1"/>
  <c r="BM12" i="1"/>
  <c r="BN11" i="1"/>
  <c r="BN10" i="1"/>
  <c r="BN9" i="1"/>
  <c r="BE6" i="1"/>
  <c r="BF5" i="1"/>
  <c r="BE5" i="1"/>
  <c r="BE4" i="1"/>
  <c r="AY9" i="1"/>
  <c r="AZ5" i="1" s="1"/>
  <c r="AZ9" i="1" s="1"/>
  <c r="AZ8" i="1"/>
  <c r="AZ7" i="1"/>
  <c r="AZ6" i="1"/>
  <c r="AR10" i="1"/>
  <c r="AS9" i="1"/>
  <c r="AS8" i="1"/>
  <c r="AS7" i="1"/>
  <c r="AS6" i="1"/>
  <c r="AM6" i="1"/>
  <c r="AM10" i="1"/>
  <c r="AN6" i="1" s="1"/>
  <c r="AN9" i="1"/>
  <c r="AN8" i="1"/>
  <c r="AN7" i="1"/>
  <c r="AH10" i="1"/>
  <c r="AI9" i="1"/>
  <c r="AI8" i="1"/>
  <c r="AI7" i="1"/>
  <c r="AI6" i="1"/>
  <c r="AC10" i="1"/>
  <c r="AD9" i="1"/>
  <c r="AD8" i="1"/>
  <c r="AD7" i="1"/>
  <c r="AD6" i="1"/>
  <c r="X10" i="1"/>
  <c r="Y9" i="1"/>
  <c r="Y8" i="1"/>
  <c r="Y7" i="1"/>
  <c r="Y6" i="1"/>
  <c r="S10" i="1"/>
  <c r="T9" i="1"/>
  <c r="T8" i="1"/>
  <c r="T7" i="1"/>
  <c r="T6" i="1"/>
  <c r="N10" i="1"/>
  <c r="O9" i="1"/>
  <c r="O8" i="1"/>
  <c r="O7" i="1"/>
  <c r="O6" i="1"/>
  <c r="J6" i="1"/>
  <c r="J7" i="1"/>
  <c r="C8" i="1"/>
  <c r="C9" i="1"/>
  <c r="C7" i="1"/>
  <c r="C6" i="1"/>
  <c r="B10" i="1"/>
</calcChain>
</file>

<file path=xl/sharedStrings.xml><?xml version="1.0" encoding="utf-8"?>
<sst xmlns="http://schemas.openxmlformats.org/spreadsheetml/2006/main" count="133" uniqueCount="81">
  <si>
    <t>What time of day do you usually study?</t>
  </si>
  <si>
    <t>frequancy</t>
  </si>
  <si>
    <t>Percentages</t>
  </si>
  <si>
    <t>Total</t>
  </si>
  <si>
    <t>morning</t>
  </si>
  <si>
    <t>Evening</t>
  </si>
  <si>
    <t>Afternoom</t>
  </si>
  <si>
    <t>Night</t>
  </si>
  <si>
    <t>Time</t>
  </si>
  <si>
    <t>D0 you usually study with your phone nearby?</t>
  </si>
  <si>
    <t>Phone</t>
  </si>
  <si>
    <t>Yes</t>
  </si>
  <si>
    <t>No</t>
  </si>
  <si>
    <t>How often do you check your phone while studing?</t>
  </si>
  <si>
    <t>Never</t>
  </si>
  <si>
    <t>Always</t>
  </si>
  <si>
    <t>Occasionally</t>
  </si>
  <si>
    <t>Almost</t>
  </si>
  <si>
    <t>Do you think social media affects your study time?</t>
  </si>
  <si>
    <t>Unsure</t>
  </si>
  <si>
    <t>None of these</t>
  </si>
  <si>
    <t>Affects</t>
  </si>
  <si>
    <t>What do you usually do on social media?</t>
  </si>
  <si>
    <t>Social media</t>
  </si>
  <si>
    <t>Browse news</t>
  </si>
  <si>
    <t>Post updates</t>
  </si>
  <si>
    <t>chat with friends</t>
  </si>
  <si>
    <t>Study material</t>
  </si>
  <si>
    <t>Media affect your study time?</t>
  </si>
  <si>
    <t>Study time</t>
  </si>
  <si>
    <t>Reduces study time</t>
  </si>
  <si>
    <t>No impact</t>
  </si>
  <si>
    <t>Help</t>
  </si>
  <si>
    <t>How many hours do you spend studying per day?</t>
  </si>
  <si>
    <t>Hours</t>
  </si>
  <si>
    <t>2 Hours</t>
  </si>
  <si>
    <t>4 Hours</t>
  </si>
  <si>
    <t>1 Hours</t>
  </si>
  <si>
    <t>what is your academic level</t>
  </si>
  <si>
    <t>Academic level</t>
  </si>
  <si>
    <t>Graducation</t>
  </si>
  <si>
    <t>School</t>
  </si>
  <si>
    <t>High school</t>
  </si>
  <si>
    <t>Which social media platform do you use?</t>
  </si>
  <si>
    <t>Platform</t>
  </si>
  <si>
    <t>Facebook</t>
  </si>
  <si>
    <t>Instagram</t>
  </si>
  <si>
    <t>Twitter</t>
  </si>
  <si>
    <t>other</t>
  </si>
  <si>
    <t>3 Hours</t>
  </si>
  <si>
    <t>Row Labels</t>
  </si>
  <si>
    <t>Grand Total</t>
  </si>
  <si>
    <t>Sum of frequancy</t>
  </si>
  <si>
    <t>Sum of Percentages</t>
  </si>
  <si>
    <t>Column Labels</t>
  </si>
  <si>
    <t>Q7</t>
  </si>
  <si>
    <t>Q8</t>
  </si>
  <si>
    <t>Q9</t>
  </si>
  <si>
    <t>Q10</t>
  </si>
  <si>
    <t>Q11</t>
  </si>
  <si>
    <t>Q12</t>
  </si>
  <si>
    <t>Q3</t>
  </si>
  <si>
    <t>Q4</t>
  </si>
  <si>
    <t>Q5</t>
  </si>
  <si>
    <t>Social Media</t>
  </si>
  <si>
    <r>
      <rPr>
        <b/>
        <sz val="7"/>
        <color rgb="FF202124"/>
        <rFont val="Times New Roman"/>
        <family val="1"/>
      </rPr>
      <t xml:space="preserve">    </t>
    </r>
    <r>
      <rPr>
        <b/>
        <sz val="11"/>
        <color rgb="FF202124"/>
        <rFont val="Times New Roman"/>
        <family val="1"/>
      </rPr>
      <t>How many hours do you spend on social media per day?</t>
    </r>
  </si>
  <si>
    <t>Q1</t>
  </si>
  <si>
    <t>Gander</t>
  </si>
  <si>
    <t>male</t>
  </si>
  <si>
    <t>female</t>
  </si>
  <si>
    <t>Q2</t>
  </si>
  <si>
    <t>What is your age</t>
  </si>
  <si>
    <t>age</t>
  </si>
  <si>
    <t>01-10.</t>
  </si>
  <si>
    <t>11-20.</t>
  </si>
  <si>
    <t>30-40.</t>
  </si>
  <si>
    <t>20-30.</t>
  </si>
  <si>
    <t>Msc</t>
  </si>
  <si>
    <t xml:space="preserve"> </t>
  </si>
  <si>
    <t>1/33.</t>
  </si>
  <si>
    <t>1/252.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</si>
</sst>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202124"/>
      <name val="Times New Roman"/>
      <family val="1"/>
    </font>
    <font>
      <b/>
      <sz val="7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 applyAlignment="1">
      <alignment horizontal="left" vertical="center" indent="5"/>
    </xf>
    <xf numFmtId="0" fontId="1" fillId="0" borderId="0" xfId="0" applyFont="1"/>
    <xf numFmtId="10" fontId="1" fillId="0" borderId="0" xfId="0" applyNumberFormat="1" applyFont="1"/>
    <xf numFmtId="16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7" fontId="0" fillId="0" borderId="0" xfId="0" applyNumberFormat="1"/>
  </cellXfs>
  <cellStyles count="2">
    <cellStyle name="Normal" xfId="0" builtinId="0"/>
    <cellStyle name="Normal 2" xfId="1" xr:uid="{263E19CF-79FD-46BD-9068-56A4130906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 charts  .xlsx]Sheet2!PivotTable1</c:name>
    <c:fmtId val="21"/>
  </c:pivotSource>
  <c:chart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2">
                <a:shade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Sheet2!$B$5:$B$9</c:f>
              <c:numCache>
                <c:formatCode>0.00%</c:formatCode>
                <c:ptCount val="4"/>
                <c:pt idx="0">
                  <c:v>9.6103896103896108E-2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8-43F4-93E5-900FFE447B7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chemeClr val="accent2">
                <a:shade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Sheet2!$C$5:$C$9</c:f>
              <c:numCache>
                <c:formatCode>0.00%</c:formatCode>
                <c:ptCount val="4"/>
                <c:pt idx="1">
                  <c:v>0.23376623376623376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8-43F4-93E5-900FFE447B7F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121</c:v>
                </c:pt>
              </c:strCache>
            </c:strRef>
          </c:tx>
          <c:spPr>
            <a:solidFill>
              <a:schemeClr val="accent2">
                <a:tint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Sheet2!$D$5:$D$9</c:f>
              <c:numCache>
                <c:formatCode>0.00%</c:formatCode>
                <c:ptCount val="4"/>
                <c:pt idx="2">
                  <c:v>0.31428571428571428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18-43F4-93E5-900FFE447B7F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137</c:v>
                </c:pt>
              </c:strCache>
            </c:strRef>
          </c:tx>
          <c:spPr>
            <a:solidFill>
              <a:schemeClr val="accent2">
                <a:tint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Sheet2!$E$5:$E$9</c:f>
              <c:numCache>
                <c:formatCode>0.00%</c:formatCode>
                <c:ptCount val="4"/>
                <c:pt idx="3">
                  <c:v>0.35584415584415585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18-43F4-93E5-900FFE447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0694768"/>
        <c:axId val="1880677008"/>
      </c:barChart>
      <c:catAx>
        <c:axId val="188069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77008"/>
        <c:crosses val="autoZero"/>
        <c:auto val="1"/>
        <c:lblAlgn val="ctr"/>
        <c:lblOffset val="100"/>
        <c:noMultiLvlLbl val="0"/>
      </c:catAx>
      <c:valAx>
        <c:axId val="1880677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9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charts  .xlsx]Sheet3!PivotTable2</c:name>
    <c:fmtId val="0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frequancy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4"/>
                <c:pt idx="0">
                  <c:v>No</c:v>
                </c:pt>
                <c:pt idx="1">
                  <c:v>None of these</c:v>
                </c:pt>
                <c:pt idx="2">
                  <c:v>Unsure</c:v>
                </c:pt>
                <c:pt idx="3">
                  <c:v>Yes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94</c:v>
                </c:pt>
                <c:pt idx="1">
                  <c:v>25</c:v>
                </c:pt>
                <c:pt idx="2">
                  <c:v>52</c:v>
                </c:pt>
                <c:pt idx="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5-4648-843B-F4E7AC78C569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Percentages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4"/>
                <c:pt idx="0">
                  <c:v>No</c:v>
                </c:pt>
                <c:pt idx="1">
                  <c:v>None of these</c:v>
                </c:pt>
                <c:pt idx="2">
                  <c:v>Unsure</c:v>
                </c:pt>
                <c:pt idx="3">
                  <c:v>Yes</c:v>
                </c:pt>
              </c:strCache>
            </c:strRef>
          </c:cat>
          <c:val>
            <c:numRef>
              <c:f>Sheet3!$C$2:$C$6</c:f>
              <c:numCache>
                <c:formatCode>0.00%</c:formatCode>
                <c:ptCount val="4"/>
                <c:pt idx="0">
                  <c:v>0.24415584415584415</c:v>
                </c:pt>
                <c:pt idx="1">
                  <c:v>6.4935064935064929E-2</c:v>
                </c:pt>
                <c:pt idx="2">
                  <c:v>0.13506493506493505</c:v>
                </c:pt>
                <c:pt idx="3">
                  <c:v>0.55584415584415581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5-4648-843B-F4E7AC78C5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3094384"/>
        <c:axId val="1983099184"/>
      </c:barChart>
      <c:catAx>
        <c:axId val="19830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99184"/>
        <c:crosses val="autoZero"/>
        <c:auto val="1"/>
        <c:lblAlgn val="ctr"/>
        <c:lblOffset val="100"/>
        <c:noMultiLvlLbl val="0"/>
      </c:catAx>
      <c:valAx>
        <c:axId val="19830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frequancy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Sheet1!$A$6:$A$10</c15:sqref>
                  </c15:fullRef>
                </c:ext>
              </c:extLst>
              <c:f>Sheet1!$A$6:$A$9</c:f>
              <c:strCache>
                <c:ptCount val="4"/>
                <c:pt idx="0">
                  <c:v>morning</c:v>
                </c:pt>
                <c:pt idx="1">
                  <c:v>Evening</c:v>
                </c:pt>
                <c:pt idx="2">
                  <c:v>Afternoom</c:v>
                </c:pt>
                <c:pt idx="3">
                  <c:v>Night</c:v>
                </c:pt>
                <c:pt idx="4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Sheet1!$B$6:$B$9</c15:sqref>
                  </c15:fullRef>
                </c:ext>
              </c:extLst>
              <c:f>Sheet1!$B$6:$B$9</c:f>
              <c:numCache>
                <c:formatCode>General</c:formatCode>
                <c:ptCount val="4"/>
                <c:pt idx="0">
                  <c:v>98</c:v>
                </c:pt>
                <c:pt idx="1">
                  <c:v>61</c:v>
                </c:pt>
                <c:pt idx="2">
                  <c:v>36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E-4223-8FC8-BD3C985A92AC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Percentages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Sheet1!$A$6:$A$10</c15:sqref>
                  </c15:fullRef>
                </c:ext>
              </c:extLst>
              <c:f>Sheet1!$A$6:$A$9</c:f>
              <c:strCache>
                <c:ptCount val="4"/>
                <c:pt idx="0">
                  <c:v>morning</c:v>
                </c:pt>
                <c:pt idx="1">
                  <c:v>Evening</c:v>
                </c:pt>
                <c:pt idx="2">
                  <c:v>Afternoom</c:v>
                </c:pt>
                <c:pt idx="3">
                  <c:v>Night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Sheet1!$C$6:$C$10</c15:sqref>
                  </c15:fullRef>
                </c:ext>
              </c:extLst>
              <c:f>Sheet1!$C$6:$C$9</c:f>
              <c:numCache>
                <c:formatCode>0.00%</c:formatCode>
                <c:ptCount val="4"/>
                <c:pt idx="0">
                  <c:v>0.25454545454545452</c:v>
                </c:pt>
                <c:pt idx="1">
                  <c:v>0.15844155844155844</c:v>
                </c:pt>
                <c:pt idx="2">
                  <c:v>9.350649350649351E-2</c:v>
                </c:pt>
                <c:pt idx="3">
                  <c:v>0.4935064935064935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E-4223-8FC8-BD3C985A9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77702304"/>
        <c:axId val="1777698464"/>
        <c:axId val="0"/>
      </c:bar3DChart>
      <c:catAx>
        <c:axId val="177770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98464"/>
        <c:crosses val="autoZero"/>
        <c:auto val="1"/>
        <c:lblAlgn val="ctr"/>
        <c:lblOffset val="100"/>
        <c:noMultiLvlLbl val="0"/>
      </c:catAx>
      <c:valAx>
        <c:axId val="17776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7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Sheet1!$I$5</c:f>
              <c:strCache>
                <c:ptCount val="1"/>
                <c:pt idx="0">
                  <c:v>frequancy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0E4-49DB-8B8C-A1784DA76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0E4-49DB-8B8C-A1784DA766B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Sheet1!$H$6:$H$8</c15:sqref>
                  </c15:fullRef>
                </c:ext>
              </c:extLst>
              <c:f>Sheet1!$H$6:$H$7</c:f>
              <c:strCache>
                <c:ptCount val="2"/>
                <c:pt idx="0">
                  <c:v>Yes</c:v>
                </c:pt>
                <c:pt idx="1">
                  <c:v>No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Sheet1!$I$6:$I$7</c15:sqref>
                  </c15:fullRef>
                </c:ext>
              </c:extLst>
              <c:f>Sheet1!$I$6:$I$7</c:f>
              <c:numCache>
                <c:formatCode>General</c:formatCode>
                <c:ptCount val="2"/>
                <c:pt idx="0">
                  <c:v>287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D-4678-8683-6B18B18DF4A6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Percentages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0E4-49DB-8B8C-A1784DA76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0E4-49DB-8B8C-A1784DA766B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Sheet1!$H$6:$H$8</c15:sqref>
                  </c15:fullRef>
                </c:ext>
              </c:extLst>
              <c:f>Sheet1!$H$6:$H$7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Sheet1!$J$6:$J$8</c15:sqref>
                  </c15:fullRef>
                </c:ext>
              </c:extLst>
              <c:f>Sheet1!$J$6:$J$7</c:f>
              <c:numCache>
                <c:formatCode>0.00%</c:formatCode>
                <c:ptCount val="2"/>
                <c:pt idx="0">
                  <c:v>0.74545454545454548</c:v>
                </c:pt>
                <c:pt idx="1">
                  <c:v>0.25454545454545452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Sheet1!$J$8</c15:sqref>
                  <c15:spPr xmlns:c15="http://schemas.microsoft.com/office/drawing/2012/chart"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F1CD-4678-8683-6B18B18DF4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 charts  .xlsx]Sheet2!PivotTable1</c:name>
    <c:fmtId val="28"/>
  </c:pivotSource>
  <c:chart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58000"/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shade val="86000"/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tint val="86000"/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tint val="58000"/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4511286089239"/>
          <c:y val="0.20731262758821814"/>
          <c:w val="0.67921553805774282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2">
                <a:shade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Sheet2!$B$5:$B$9</c:f>
              <c:numCache>
                <c:formatCode>0.00%</c:formatCode>
                <c:ptCount val="4"/>
                <c:pt idx="0">
                  <c:v>9.6103896103896108E-2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C-4A1F-AEAB-29C9A589912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chemeClr val="accent2">
                <a:shade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Sheet2!$C$5:$C$9</c:f>
              <c:numCache>
                <c:formatCode>0.00%</c:formatCode>
                <c:ptCount val="4"/>
                <c:pt idx="1">
                  <c:v>0.23376623376623376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C-4A1F-AEAB-29C9A589912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121</c:v>
                </c:pt>
              </c:strCache>
            </c:strRef>
          </c:tx>
          <c:spPr>
            <a:solidFill>
              <a:schemeClr val="accent2">
                <a:tint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Sheet2!$D$5:$D$9</c:f>
              <c:numCache>
                <c:formatCode>0.00%</c:formatCode>
                <c:ptCount val="4"/>
                <c:pt idx="2">
                  <c:v>0.31428571428571428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AC-4A1F-AEAB-29C9A589912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137</c:v>
                </c:pt>
              </c:strCache>
            </c:strRef>
          </c:tx>
          <c:spPr>
            <a:solidFill>
              <a:schemeClr val="accent2">
                <a:tint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Almost</c:v>
                </c:pt>
                <c:pt idx="1">
                  <c:v>Always</c:v>
                </c:pt>
                <c:pt idx="2">
                  <c:v>Never</c:v>
                </c:pt>
                <c:pt idx="3">
                  <c:v>Occasionally</c:v>
                </c:pt>
              </c:strCache>
            </c:strRef>
          </c:cat>
          <c:val>
            <c:numRef>
              <c:f>Sheet2!$E$5:$E$9</c:f>
              <c:numCache>
                <c:formatCode>0.00%</c:formatCode>
                <c:ptCount val="4"/>
                <c:pt idx="3">
                  <c:v>0.35584415584415585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AC-4A1F-AEAB-29C9A5899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0694768"/>
        <c:axId val="1880677008"/>
      </c:barChart>
      <c:catAx>
        <c:axId val="188069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77008"/>
        <c:crosses val="autoZero"/>
        <c:auto val="1"/>
        <c:lblAlgn val="ctr"/>
        <c:lblOffset val="100"/>
        <c:noMultiLvlLbl val="0"/>
      </c:catAx>
      <c:valAx>
        <c:axId val="1880677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9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Social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Sheet1!$X$5</c:f>
              <c:strCache>
                <c:ptCount val="1"/>
                <c:pt idx="0">
                  <c:v>frequancy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24-42F1-9BDB-3832D4C8731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24-42F1-9BDB-3832D4C8731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24-42F1-9BDB-3832D4C8731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24-42F1-9BDB-3832D4C873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Sheet1!$W$6:$W$9</c:f>
              <c:strCache>
                <c:ptCount val="4"/>
                <c:pt idx="0">
                  <c:v>Browse news</c:v>
                </c:pt>
                <c:pt idx="1">
                  <c:v>Post updates</c:v>
                </c:pt>
                <c:pt idx="2">
                  <c:v>chat with friends</c:v>
                </c:pt>
                <c:pt idx="3">
                  <c:v>Study material</c:v>
                </c:pt>
              </c:strCache>
            </c:strRef>
          </c:cat>
          <c:val>
            <c:numRef>
              <c:f>Sheet1!$X$6:$X$9</c:f>
              <c:numCache>
                <c:formatCode>General</c:formatCode>
                <c:ptCount val="4"/>
                <c:pt idx="0">
                  <c:v>57</c:v>
                </c:pt>
                <c:pt idx="1">
                  <c:v>75</c:v>
                </c:pt>
                <c:pt idx="2">
                  <c:v>73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A-48C7-A678-880FE95AF93E}"/>
            </c:ext>
          </c:extLst>
        </c:ser>
        <c:ser>
          <c:idx val="1"/>
          <c:order val="1"/>
          <c:tx>
            <c:strRef>
              <c:f>Sheet1!$Y$5</c:f>
              <c:strCache>
                <c:ptCount val="1"/>
                <c:pt idx="0">
                  <c:v>Percentages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24-42F1-9BDB-3832D4C8731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24-42F1-9BDB-3832D4C8731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24-42F1-9BDB-3832D4C8731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24-42F1-9BDB-3832D4C873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Sheet1!$W$6:$W$9</c:f>
              <c:strCache>
                <c:ptCount val="4"/>
                <c:pt idx="0">
                  <c:v>Browse news</c:v>
                </c:pt>
                <c:pt idx="1">
                  <c:v>Post updates</c:v>
                </c:pt>
                <c:pt idx="2">
                  <c:v>chat with friends</c:v>
                </c:pt>
                <c:pt idx="3">
                  <c:v>Study material</c:v>
                </c:pt>
              </c:strCache>
            </c:strRef>
          </c:cat>
          <c:val>
            <c:numRef>
              <c:f>Sheet1!$Y$6:$Y$9</c:f>
              <c:numCache>
                <c:formatCode>0.00%</c:formatCode>
                <c:ptCount val="4"/>
                <c:pt idx="0">
                  <c:v>0.14805194805194805</c:v>
                </c:pt>
                <c:pt idx="1">
                  <c:v>0.19480519480519481</c:v>
                </c:pt>
                <c:pt idx="2">
                  <c:v>0.18961038961038962</c:v>
                </c:pt>
                <c:pt idx="3">
                  <c:v>0.46753246753246752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A-48C7-A678-880FE95AF9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charts  .xlsx]Sheet3!PivotTable2</c:name>
    <c:fmtId val="6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frequancy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4"/>
                <c:pt idx="0">
                  <c:v>No</c:v>
                </c:pt>
                <c:pt idx="1">
                  <c:v>None of these</c:v>
                </c:pt>
                <c:pt idx="2">
                  <c:v>Unsure</c:v>
                </c:pt>
                <c:pt idx="3">
                  <c:v>Yes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4"/>
                <c:pt idx="0">
                  <c:v>94</c:v>
                </c:pt>
                <c:pt idx="1">
                  <c:v>25</c:v>
                </c:pt>
                <c:pt idx="2">
                  <c:v>52</c:v>
                </c:pt>
                <c:pt idx="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B-4727-81F8-09523B573022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Sum of Percentages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4"/>
                <c:pt idx="0">
                  <c:v>No</c:v>
                </c:pt>
                <c:pt idx="1">
                  <c:v>None of these</c:v>
                </c:pt>
                <c:pt idx="2">
                  <c:v>Unsure</c:v>
                </c:pt>
                <c:pt idx="3">
                  <c:v>Yes</c:v>
                </c:pt>
              </c:strCache>
            </c:strRef>
          </c:cat>
          <c:val>
            <c:numRef>
              <c:f>Sheet3!$C$2:$C$6</c:f>
              <c:numCache>
                <c:formatCode>0.00%</c:formatCode>
                <c:ptCount val="4"/>
                <c:pt idx="0">
                  <c:v>0.24415584415584415</c:v>
                </c:pt>
                <c:pt idx="1">
                  <c:v>6.4935064935064929E-2</c:v>
                </c:pt>
                <c:pt idx="2">
                  <c:v>0.13506493506493505</c:v>
                </c:pt>
                <c:pt idx="3">
                  <c:v>0.55584415584415581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BB-4727-81F8-09523B5730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3094384"/>
        <c:axId val="1983099184"/>
      </c:barChart>
      <c:catAx>
        <c:axId val="19830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99184"/>
        <c:crosses val="autoZero"/>
        <c:auto val="1"/>
        <c:lblAlgn val="ctr"/>
        <c:lblOffset val="100"/>
        <c:noMultiLvlLbl val="0"/>
      </c:catAx>
      <c:valAx>
        <c:axId val="19830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</a:t>
            </a:r>
            <a:r>
              <a:rPr lang="en-US" baseline="0"/>
              <a:t> affect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0.18969925634295715"/>
          <c:w val="0.67942541557305336"/>
          <c:h val="0.75474518810148727"/>
        </c:manualLayout>
      </c:layout>
      <c:pie3DChart>
        <c:varyColors val="1"/>
        <c:ser>
          <c:idx val="0"/>
          <c:order val="0"/>
          <c:tx>
            <c:strRef>
              <c:f>Sheet1!$AC$5</c:f>
              <c:strCache>
                <c:ptCount val="1"/>
                <c:pt idx="0">
                  <c:v>frequancy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8EF-4D35-8616-DDD195ECEF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8EF-4D35-8616-DDD195ECEF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8EF-4D35-8616-DDD195ECEF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8EF-4D35-8616-DDD195ECEFD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Sheet1!$AB$6:$AB$9</c:f>
              <c:strCache>
                <c:ptCount val="4"/>
                <c:pt idx="0">
                  <c:v>Reduces study time</c:v>
                </c:pt>
                <c:pt idx="1">
                  <c:v>No impact</c:v>
                </c:pt>
                <c:pt idx="2">
                  <c:v>Help</c:v>
                </c:pt>
                <c:pt idx="3">
                  <c:v>None of these</c:v>
                </c:pt>
              </c:strCache>
            </c:strRef>
          </c:cat>
          <c:val>
            <c:numRef>
              <c:f>Sheet1!$AC$6:$AC$9</c:f>
              <c:numCache>
                <c:formatCode>General</c:formatCode>
                <c:ptCount val="4"/>
                <c:pt idx="0">
                  <c:v>199</c:v>
                </c:pt>
                <c:pt idx="1">
                  <c:v>66</c:v>
                </c:pt>
                <c:pt idx="2">
                  <c:v>75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D-4054-9F23-9B1AECC545ED}"/>
            </c:ext>
          </c:extLst>
        </c:ser>
        <c:ser>
          <c:idx val="1"/>
          <c:order val="1"/>
          <c:tx>
            <c:strRef>
              <c:f>Sheet1!$AD$5</c:f>
              <c:strCache>
                <c:ptCount val="1"/>
                <c:pt idx="0">
                  <c:v>Percentages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8EF-4D35-8616-DDD195ECEF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8EF-4D35-8616-DDD195ECEF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8EF-4D35-8616-DDD195ECEF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8EF-4D35-8616-DDD195ECEFD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Sheet1!$AB$6:$AB$9</c:f>
              <c:strCache>
                <c:ptCount val="4"/>
                <c:pt idx="0">
                  <c:v>Reduces study time</c:v>
                </c:pt>
                <c:pt idx="1">
                  <c:v>No impact</c:v>
                </c:pt>
                <c:pt idx="2">
                  <c:v>Help</c:v>
                </c:pt>
                <c:pt idx="3">
                  <c:v>None of these</c:v>
                </c:pt>
              </c:strCache>
            </c:strRef>
          </c:cat>
          <c:val>
            <c:numRef>
              <c:f>Sheet1!$AD$6:$AD$9</c:f>
              <c:numCache>
                <c:formatCode>0.00%</c:formatCode>
                <c:ptCount val="4"/>
                <c:pt idx="0">
                  <c:v>0.51688311688311683</c:v>
                </c:pt>
                <c:pt idx="1">
                  <c:v>0.17142857142857143</c:v>
                </c:pt>
                <c:pt idx="2">
                  <c:v>0.19480519480519481</c:v>
                </c:pt>
                <c:pt idx="3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D-4054-9F23-9B1AECC545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Academic</a:t>
            </a:r>
            <a:r>
              <a:rPr lang="en-US" baseline="0"/>
              <a:t>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444444444444446E-2"/>
          <c:y val="0.12025481189851268"/>
          <c:w val="0.75237029746281714"/>
          <c:h val="0.75474518810148727"/>
        </c:manualLayout>
      </c:layout>
      <c:pie3DChart>
        <c:varyColors val="1"/>
        <c:ser>
          <c:idx val="0"/>
          <c:order val="0"/>
          <c:tx>
            <c:strRef>
              <c:f>Sheet1!$AM$5</c:f>
              <c:strCache>
                <c:ptCount val="1"/>
                <c:pt idx="0">
                  <c:v>frequancy</c:v>
                </c:pt>
              </c:strCache>
            </c:strRef>
          </c:tx>
          <c:explosion val="3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C60-47CC-A609-0937F28414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C60-47CC-A609-0937F28414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C60-47CC-A609-0937F28414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C60-47CC-A609-0937F284145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Sheet1!$AL$6:$AL$9</c:f>
              <c:strCache>
                <c:ptCount val="4"/>
                <c:pt idx="0">
                  <c:v>Graducation</c:v>
                </c:pt>
                <c:pt idx="1">
                  <c:v>School</c:v>
                </c:pt>
                <c:pt idx="2">
                  <c:v>High school</c:v>
                </c:pt>
                <c:pt idx="3">
                  <c:v>Msc</c:v>
                </c:pt>
              </c:strCache>
            </c:strRef>
          </c:cat>
          <c:val>
            <c:numRef>
              <c:f>Sheet1!$AM$6:$AM$9</c:f>
              <c:numCache>
                <c:formatCode>General</c:formatCode>
                <c:ptCount val="4"/>
                <c:pt idx="0">
                  <c:v>308</c:v>
                </c:pt>
                <c:pt idx="1">
                  <c:v>33</c:v>
                </c:pt>
                <c:pt idx="2">
                  <c:v>37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F-4C19-A345-C1F367E18DB0}"/>
            </c:ext>
          </c:extLst>
        </c:ser>
        <c:ser>
          <c:idx val="1"/>
          <c:order val="1"/>
          <c:tx>
            <c:strRef>
              <c:f>Sheet1!$AN$5</c:f>
              <c:strCache>
                <c:ptCount val="1"/>
                <c:pt idx="0">
                  <c:v>Percentages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C60-47CC-A609-0937F28414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C60-47CC-A609-0937F28414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C60-47CC-A609-0937F28414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C60-47CC-A609-0937F284145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Sheet1!$AL$6:$AL$9</c:f>
              <c:strCache>
                <c:ptCount val="4"/>
                <c:pt idx="0">
                  <c:v>Graducation</c:v>
                </c:pt>
                <c:pt idx="1">
                  <c:v>School</c:v>
                </c:pt>
                <c:pt idx="2">
                  <c:v>High school</c:v>
                </c:pt>
                <c:pt idx="3">
                  <c:v>Msc</c:v>
                </c:pt>
              </c:strCache>
            </c:strRef>
          </c:cat>
          <c:val>
            <c:numRef>
              <c:f>Sheet1!$AN$6:$AN$9</c:f>
              <c:numCache>
                <c:formatCode>0.00%</c:formatCode>
                <c:ptCount val="4"/>
                <c:pt idx="0">
                  <c:v>0.8</c:v>
                </c:pt>
                <c:pt idx="1">
                  <c:v>8.5714285714285715E-2</c:v>
                </c:pt>
                <c:pt idx="2">
                  <c:v>9.6103896103896108E-2</c:v>
                </c:pt>
                <c:pt idx="3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F-4C19-A345-C1F367E18D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Sheet1!$AR$5</c:f>
              <c:strCache>
                <c:ptCount val="1"/>
                <c:pt idx="0">
                  <c:v>frequancy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Sheet1!$AQ$6:$AQ$9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other</c:v>
                </c:pt>
              </c:strCache>
            </c:strRef>
          </c:cat>
          <c:val>
            <c:numRef>
              <c:f>Sheet1!$AR$6:$AR$9</c:f>
              <c:numCache>
                <c:formatCode>General</c:formatCode>
                <c:ptCount val="4"/>
                <c:pt idx="0">
                  <c:v>12</c:v>
                </c:pt>
                <c:pt idx="1">
                  <c:v>307</c:v>
                </c:pt>
                <c:pt idx="2">
                  <c:v>5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7-4F06-B192-76588B987868}"/>
            </c:ext>
          </c:extLst>
        </c:ser>
        <c:ser>
          <c:idx val="1"/>
          <c:order val="1"/>
          <c:tx>
            <c:strRef>
              <c:f>Sheet1!$AS$5</c:f>
              <c:strCache>
                <c:ptCount val="1"/>
                <c:pt idx="0">
                  <c:v>Percentages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Sheet1!$AQ$6:$AQ$9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other</c:v>
                </c:pt>
              </c:strCache>
            </c:strRef>
          </c:cat>
          <c:val>
            <c:numRef>
              <c:f>Sheet1!$AS$6:$AS$9</c:f>
              <c:numCache>
                <c:formatCode>0.00%</c:formatCode>
                <c:ptCount val="4"/>
                <c:pt idx="0">
                  <c:v>3.1168831168831169E-2</c:v>
                </c:pt>
                <c:pt idx="1">
                  <c:v>0.79740259740259745</c:v>
                </c:pt>
                <c:pt idx="2">
                  <c:v>1.2987012987012988E-2</c:v>
                </c:pt>
                <c:pt idx="3">
                  <c:v>0.15844155844155844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7-4F06-B192-76588B9878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80698128"/>
        <c:axId val="1880698608"/>
      </c:barChart>
      <c:catAx>
        <c:axId val="188069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98608"/>
        <c:crosses val="autoZero"/>
        <c:auto val="1"/>
        <c:lblAlgn val="ctr"/>
        <c:lblOffset val="100"/>
        <c:noMultiLvlLbl val="0"/>
      </c:catAx>
      <c:valAx>
        <c:axId val="1880698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98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Sheet1!$BE$5</c:f>
              <c:strCache>
                <c:ptCount val="1"/>
                <c:pt idx="0">
                  <c:v>frequancy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Sheet1!$BD$6:$BD$8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Sheet1!$BE$6:$BE$8</c:f>
              <c:numCache>
                <c:formatCode>General</c:formatCode>
                <c:ptCount val="3"/>
                <c:pt idx="0">
                  <c:v>197</c:v>
                </c:pt>
                <c:pt idx="1">
                  <c:v>185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F-441F-91BD-74AA68BD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51564944"/>
        <c:axId val="2051585584"/>
        <c:axId val="0"/>
      </c:bar3DChart>
      <c:catAx>
        <c:axId val="205156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85584"/>
        <c:crosses val="autoZero"/>
        <c:auto val="1"/>
        <c:lblAlgn val="ctr"/>
        <c:lblOffset val="100"/>
        <c:noMultiLvlLbl val="0"/>
      </c:catAx>
      <c:valAx>
        <c:axId val="20515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6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Sheet1!$BM$7</c:f>
              <c:strCache>
                <c:ptCount val="1"/>
                <c:pt idx="0">
                  <c:v>frequancy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C7D-4EAA-AC2F-E5EDDE2D20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C7D-4EAA-AC2F-E5EDDE2D20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C7D-4EAA-AC2F-E5EDDE2D20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C7D-4EAA-AC2F-E5EDDE2D202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Sheet1!$BL$8:$BL$11</c:f>
              <c:strCache>
                <c:ptCount val="4"/>
                <c:pt idx="0">
                  <c:v>01-10.</c:v>
                </c:pt>
                <c:pt idx="1">
                  <c:v>11-20.</c:v>
                </c:pt>
                <c:pt idx="2">
                  <c:v>20-30.</c:v>
                </c:pt>
                <c:pt idx="3">
                  <c:v>30-40.</c:v>
                </c:pt>
              </c:strCache>
            </c:strRef>
          </c:cat>
          <c:val>
            <c:numRef>
              <c:f>Sheet1!$BM$8:$BM$11</c:f>
              <c:numCache>
                <c:formatCode>General</c:formatCode>
                <c:ptCount val="4"/>
                <c:pt idx="0">
                  <c:v>6</c:v>
                </c:pt>
                <c:pt idx="1">
                  <c:v>170</c:v>
                </c:pt>
                <c:pt idx="2">
                  <c:v>197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E-4F59-BCAC-417D72D7CBD3}"/>
            </c:ext>
          </c:extLst>
        </c:ser>
        <c:ser>
          <c:idx val="1"/>
          <c:order val="1"/>
          <c:tx>
            <c:strRef>
              <c:f>Sheet1!$BN$7</c:f>
              <c:strCache>
                <c:ptCount val="1"/>
                <c:pt idx="0">
                  <c:v>Percentages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C7D-4EAA-AC2F-E5EDDE2D20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C7D-4EAA-AC2F-E5EDDE2D20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C7D-4EAA-AC2F-E5EDDE2D20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EC7D-4EAA-AC2F-E5EDDE2D202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Sheet1!$BL$8:$BL$11</c:f>
              <c:strCache>
                <c:ptCount val="4"/>
                <c:pt idx="0">
                  <c:v>01-10.</c:v>
                </c:pt>
                <c:pt idx="1">
                  <c:v>11-20.</c:v>
                </c:pt>
                <c:pt idx="2">
                  <c:v>20-30.</c:v>
                </c:pt>
                <c:pt idx="3">
                  <c:v>30-40.</c:v>
                </c:pt>
              </c:strCache>
            </c:strRef>
          </c:cat>
          <c:val>
            <c:numRef>
              <c:f>Sheet1!$BN$8:$BN$11</c:f>
              <c:numCache>
                <c:formatCode>0.00%</c:formatCode>
                <c:ptCount val="4"/>
                <c:pt idx="0">
                  <c:v>1.5584415584415584E-2</c:v>
                </c:pt>
                <c:pt idx="1">
                  <c:v>0.44155844155844154</c:v>
                </c:pt>
                <c:pt idx="2">
                  <c:v>0.51168831168831164</c:v>
                </c:pt>
                <c:pt idx="3">
                  <c:v>3.1168831168831169E-2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E-4F59-BCAC-417D72D7CB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title pos="t" align="ctr" overlay="0">
      <cx:tx>
        <cx:txData>
          <cx:v>Study Hours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Study Hours</a:t>
          </a:r>
        </a:p>
      </cx:txPr>
    </cx:title>
    <cx:plotArea>
      <cx:plotAreaRegion>
        <cx:series layoutId="sunburst" uniqueId="{085A21B6-0864-4461-A1B5-9A93F0A730BF}" formatIdx="0">
          <cx:tx>
            <cx:txData>
              <cx:f>_xlchart.v1.1</cx:f>
              <cx:v>frequancy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7005EEC5-21C0-4A9C-9ED9-EFC5936EC454}" formatIdx="1">
          <cx:tx>
            <cx:txData>
              <cx:f>_xlchart.v1.3</cx:f>
              <cx:v>Percentages</cx:v>
            </cx:txData>
          </cx:tx>
          <cx:dataLabels pos="ctr">
            <cx:visibility seriesName="0" categoryName="1" value="0"/>
          </cx:dataLabels>
          <cx:dataId val="1"/>
        </cx:series>
      </cx:plotAreaRegion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  <cx:data id="1">
      <cx:strDim type="cat">
        <cx:f>_xlchart.v1.5</cx:f>
      </cx:strDim>
      <cx:numDim type="size">
        <cx:f>_xlchart.v1.9</cx:f>
      </cx:numDim>
    </cx:data>
  </cx:chartData>
  <cx:chart>
    <cx:title pos="t" align="ctr" overlay="0">
      <cx:tx>
        <cx:txData>
          <cx:v>Social Media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Social Media</a:t>
          </a:r>
        </a:p>
      </cx:txPr>
    </cx:title>
    <cx:plotArea>
      <cx:plotAreaRegion>
        <cx:series layoutId="sunburst" uniqueId="{C5D84496-6049-416D-8E1A-CD517590976B}" formatIdx="0">
          <cx:tx>
            <cx:txData>
              <cx:f>_xlchart.v1.6</cx:f>
              <cx:v>frequancy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34495F47-41DD-4278-B900-3C47AA93EEC9}" formatIdx="1">
          <cx:tx>
            <cx:txData>
              <cx:f>_xlchart.v1.8</cx:f>
              <cx:v>Percentages</cx:v>
            </cx:txData>
          </cx:tx>
          <cx:dataLabels pos="ctr">
            <cx:visibility seriesName="0" categoryName="1" value="0"/>
          </cx:dataLabels>
          <cx:dataId val="1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5.xml"/><Relationship Id="rId7" Type="http://schemas.microsoft.com/office/2014/relationships/chartEx" Target="../charts/chartEx1.xml"/><Relationship Id="rId12" Type="http://schemas.openxmlformats.org/officeDocument/2006/relationships/chart" Target="../charts/chart1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1.xml"/><Relationship Id="rId5" Type="http://schemas.openxmlformats.org/officeDocument/2006/relationships/chart" Target="../charts/chart7.xml"/><Relationship Id="rId10" Type="http://schemas.microsoft.com/office/2014/relationships/chartEx" Target="../charts/chartEx2.xml"/><Relationship Id="rId4" Type="http://schemas.openxmlformats.org/officeDocument/2006/relationships/chart" Target="../charts/chart6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5</xdr:row>
      <xdr:rowOff>80010</xdr:rowOff>
    </xdr:from>
    <xdr:to>
      <xdr:col>11</xdr:col>
      <xdr:colOff>243840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D8CAA-B0AA-4B16-40C4-FDCE63848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7ECD1-7E53-5180-FC77-62E5856FC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80682</xdr:rowOff>
    </xdr:from>
    <xdr:to>
      <xdr:col>4</xdr:col>
      <xdr:colOff>439271</xdr:colOff>
      <xdr:row>26</xdr:row>
      <xdr:rowOff>116541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604F5-1C58-C760-125A-616B650AB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389965</xdr:colOff>
      <xdr:row>12</xdr:row>
      <xdr:rowOff>-1</xdr:rowOff>
    </xdr:from>
    <xdr:to>
      <xdr:col>10</xdr:col>
      <xdr:colOff>573741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09095B-137C-5406-FBE9-D7EFEFDDF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143435</xdr:colOff>
      <xdr:row>12</xdr:row>
      <xdr:rowOff>8964</xdr:rowOff>
    </xdr:from>
    <xdr:to>
      <xdr:col>17</xdr:col>
      <xdr:colOff>304800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4E1FAC-4CAB-4F5D-8EFE-53E76F510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587187</xdr:colOff>
      <xdr:row>12</xdr:row>
      <xdr:rowOff>170330</xdr:rowOff>
    </xdr:from>
    <xdr:to>
      <xdr:col>26</xdr:col>
      <xdr:colOff>188258</xdr:colOff>
      <xdr:row>25</xdr:row>
      <xdr:rowOff>80682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FCEA57-4FBA-2AC7-153C-430D1C4EB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466166</xdr:colOff>
      <xdr:row>12</xdr:row>
      <xdr:rowOff>89647</xdr:rowOff>
    </xdr:from>
    <xdr:to>
      <xdr:col>21</xdr:col>
      <xdr:colOff>519954</xdr:colOff>
      <xdr:row>26</xdr:row>
      <xdr:rowOff>161365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A67D2C-7D70-40CF-9C34-9BC99AEDD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461681</xdr:colOff>
      <xdr:row>11</xdr:row>
      <xdr:rowOff>116541</xdr:rowOff>
    </xdr:from>
    <xdr:to>
      <xdr:col>30</xdr:col>
      <xdr:colOff>394447</xdr:colOff>
      <xdr:row>26</xdr:row>
      <xdr:rowOff>89647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2B0EFA-50A6-610A-F1B2-EA7CAFA03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596153</xdr:colOff>
      <xdr:row>11</xdr:row>
      <xdr:rowOff>89648</xdr:rowOff>
    </xdr:from>
    <xdr:to>
      <xdr:col>36</xdr:col>
      <xdr:colOff>434788</xdr:colOff>
      <xdr:row>26</xdr:row>
      <xdr:rowOff>143436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0201AC5-6D8D-F189-2693-936E28E442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19193" y="2147048"/>
              <a:ext cx="4570655" cy="2804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36</xdr:col>
      <xdr:colOff>578224</xdr:colOff>
      <xdr:row>11</xdr:row>
      <xdr:rowOff>116542</xdr:rowOff>
    </xdr:from>
    <xdr:to>
      <xdr:col>40</xdr:col>
      <xdr:colOff>412377</xdr:colOff>
      <xdr:row>26</xdr:row>
      <xdr:rowOff>26894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EF1061-4444-58EE-62C6-0FBDD4A88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237565</xdr:colOff>
      <xdr:row>11</xdr:row>
      <xdr:rowOff>80682</xdr:rowOff>
    </xdr:from>
    <xdr:to>
      <xdr:col>45</xdr:col>
      <xdr:colOff>255494</xdr:colOff>
      <xdr:row>26</xdr:row>
      <xdr:rowOff>134470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C3147B5-D140-5017-051C-3DC6C5544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219635</xdr:colOff>
      <xdr:row>11</xdr:row>
      <xdr:rowOff>143436</xdr:rowOff>
    </xdr:from>
    <xdr:to>
      <xdr:col>52</xdr:col>
      <xdr:colOff>470647</xdr:colOff>
      <xdr:row>27</xdr:row>
      <xdr:rowOff>17930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F52B7A3D-F000-9544-B467-C445AF1A4C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53235" y="2200836"/>
              <a:ext cx="4571552" cy="2808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54</xdr:col>
      <xdr:colOff>4483</xdr:colOff>
      <xdr:row>11</xdr:row>
      <xdr:rowOff>98612</xdr:rowOff>
    </xdr:from>
    <xdr:to>
      <xdr:col>61</xdr:col>
      <xdr:colOff>309283</xdr:colOff>
      <xdr:row>26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0126287-B99D-E163-360D-DCA7D485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62</xdr:col>
      <xdr:colOff>587188</xdr:colOff>
      <xdr:row>12</xdr:row>
      <xdr:rowOff>116541</xdr:rowOff>
    </xdr:from>
    <xdr:to>
      <xdr:col>67</xdr:col>
      <xdr:colOff>434788</xdr:colOff>
      <xdr:row>27</xdr:row>
      <xdr:rowOff>170330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87BE9C8-80D9-E99A-38A9-9DFE2791E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ESH" refreshedDate="45723.630265509259" createdVersion="8" refreshedVersion="8" minRefreshableVersion="3" recordCount="5" xr:uid="{64CEBA3A-56C3-46E5-A646-39D301397008}">
  <cacheSource type="worksheet">
    <worksheetSource ref="M5:O10" sheet="Sheet1"/>
  </cacheSource>
  <cacheFields count="3">
    <cacheField name="Time" numFmtId="0">
      <sharedItems count="5">
        <s v="Never"/>
        <s v="Always"/>
        <s v="Occasionally"/>
        <s v="Almost"/>
        <s v="Total"/>
      </sharedItems>
    </cacheField>
    <cacheField name="frequancy" numFmtId="0">
      <sharedItems containsSemiMixedTypes="0" containsString="0" containsNumber="1" containsInteger="1" minValue="37" maxValue="385" count="5">
        <n v="121"/>
        <n v="90"/>
        <n v="137"/>
        <n v="37"/>
        <n v="385"/>
      </sharedItems>
    </cacheField>
    <cacheField name="Percentages" numFmtId="10">
      <sharedItems containsSemiMixedTypes="0" containsString="0" containsNumber="1" minValue="9.6103896103896108E-2" maxValue="0.9999999999999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ESH" refreshedDate="45723.641078819448" createdVersion="8" refreshedVersion="8" minRefreshableVersion="3" recordCount="4" xr:uid="{F0F044A3-E71A-4576-8E44-DBA75A25AD05}">
  <cacheSource type="worksheet">
    <worksheetSource ref="R5:T9" sheet="Sheet1"/>
  </cacheSource>
  <cacheFields count="3">
    <cacheField name="Affects" numFmtId="0">
      <sharedItems count="4">
        <s v="Yes"/>
        <s v="No"/>
        <s v="Unsure"/>
        <s v="None of these"/>
      </sharedItems>
    </cacheField>
    <cacheField name="frequancy" numFmtId="0">
      <sharedItems containsSemiMixedTypes="0" containsString="0" containsNumber="1" containsInteger="1" minValue="25" maxValue="214"/>
    </cacheField>
    <cacheField name="Percentages" numFmtId="10">
      <sharedItems containsSemiMixedTypes="0" containsString="0" containsNumber="1" minValue="6.4935064935064929E-2" maxValue="0.55584415584415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0.31428571428571428"/>
  </r>
  <r>
    <x v="1"/>
    <x v="1"/>
    <n v="0.23376623376623376"/>
  </r>
  <r>
    <x v="2"/>
    <x v="2"/>
    <n v="0.35584415584415585"/>
  </r>
  <r>
    <x v="3"/>
    <x v="3"/>
    <n v="9.6103896103896108E-2"/>
  </r>
  <r>
    <x v="4"/>
    <x v="4"/>
    <n v="0.999999999999999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14"/>
    <n v="0.55584415584415581"/>
  </r>
  <r>
    <x v="1"/>
    <n v="94"/>
    <n v="0.24415584415584415"/>
  </r>
  <r>
    <x v="2"/>
    <n v="52"/>
    <n v="0.13506493506493505"/>
  </r>
  <r>
    <x v="3"/>
    <n v="25"/>
    <n v="6.493506493506492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FF7D8-13EF-4726-8DD6-421674D382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F9" firstHeaderRow="1" firstDataRow="2" firstDataCol="1"/>
  <pivotFields count="3">
    <pivotField axis="axisRow" showAll="0">
      <items count="6">
        <item x="3"/>
        <item x="1"/>
        <item x="0"/>
        <item x="2"/>
        <item x="4"/>
        <item t="default"/>
      </items>
    </pivotField>
    <pivotField axis="axisCol" showAll="0">
      <items count="6">
        <item x="3"/>
        <item x="1"/>
        <item x="0"/>
        <item x="2"/>
        <item h="1" x="4"/>
        <item t="default"/>
      </items>
    </pivotField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ercentages" fld="2" baseField="0" baseItem="0" numFmtId="10"/>
  </dataFields>
  <chartFormats count="9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34F01-773E-40DE-99E5-E67BB7355A8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C6" firstHeaderRow="0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dataField="1" showAll="0"/>
    <pivotField dataField="1"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equancy" fld="1" baseField="0" baseItem="0"/>
    <dataField name="Sum of Percentages" fld="2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C3D4-3A71-44C7-AFAA-ADC6004ECD52}">
  <dimension ref="A3:F9"/>
  <sheetViews>
    <sheetView workbookViewId="0">
      <selection activeCell="N14" sqref="N14"/>
    </sheetView>
  </sheetViews>
  <sheetFormatPr defaultRowHeight="14.4" x14ac:dyDescent="0.3"/>
  <cols>
    <col min="1" max="1" width="17.88671875" bestFit="1" customWidth="1"/>
    <col min="2" max="2" width="15.5546875" bestFit="1" customWidth="1"/>
    <col min="3" max="5" width="7" bestFit="1" customWidth="1"/>
    <col min="6" max="7" width="10.77734375" bestFit="1" customWidth="1"/>
  </cols>
  <sheetData>
    <row r="3" spans="1:6" x14ac:dyDescent="0.3">
      <c r="A3" s="13" t="s">
        <v>53</v>
      </c>
      <c r="B3" s="13" t="s">
        <v>54</v>
      </c>
    </row>
    <row r="4" spans="1:6" x14ac:dyDescent="0.3">
      <c r="A4" s="13" t="s">
        <v>50</v>
      </c>
      <c r="B4">
        <v>37</v>
      </c>
      <c r="C4">
        <v>90</v>
      </c>
      <c r="D4">
        <v>121</v>
      </c>
      <c r="E4">
        <v>137</v>
      </c>
      <c r="F4" t="s">
        <v>51</v>
      </c>
    </row>
    <row r="5" spans="1:6" x14ac:dyDescent="0.3">
      <c r="A5" s="14" t="s">
        <v>17</v>
      </c>
      <c r="B5" s="15">
        <v>9.6103896103896108E-2</v>
      </c>
      <c r="C5" s="15"/>
      <c r="D5" s="15"/>
      <c r="E5" s="15"/>
      <c r="F5" s="15">
        <v>9.6103896103896108E-2</v>
      </c>
    </row>
    <row r="6" spans="1:6" x14ac:dyDescent="0.3">
      <c r="A6" s="14" t="s">
        <v>15</v>
      </c>
      <c r="B6" s="15"/>
      <c r="C6" s="15">
        <v>0.23376623376623376</v>
      </c>
      <c r="D6" s="15"/>
      <c r="E6" s="15"/>
      <c r="F6" s="15">
        <v>0.23376623376623376</v>
      </c>
    </row>
    <row r="7" spans="1:6" x14ac:dyDescent="0.3">
      <c r="A7" s="14" t="s">
        <v>14</v>
      </c>
      <c r="B7" s="15"/>
      <c r="C7" s="15"/>
      <c r="D7" s="15">
        <v>0.31428571428571428</v>
      </c>
      <c r="E7" s="15"/>
      <c r="F7" s="15">
        <v>0.31428571428571428</v>
      </c>
    </row>
    <row r="8" spans="1:6" x14ac:dyDescent="0.3">
      <c r="A8" s="14" t="s">
        <v>16</v>
      </c>
      <c r="B8" s="15"/>
      <c r="C8" s="15"/>
      <c r="D8" s="15"/>
      <c r="E8" s="15">
        <v>0.35584415584415585</v>
      </c>
      <c r="F8" s="15">
        <v>0.35584415584415585</v>
      </c>
    </row>
    <row r="9" spans="1:6" x14ac:dyDescent="0.3">
      <c r="A9" s="14" t="s">
        <v>51</v>
      </c>
      <c r="B9" s="15">
        <v>9.6103896103896108E-2</v>
      </c>
      <c r="C9" s="15">
        <v>0.23376623376623376</v>
      </c>
      <c r="D9" s="15">
        <v>0.31428571428571428</v>
      </c>
      <c r="E9" s="15">
        <v>0.35584415584415585</v>
      </c>
      <c r="F9" s="1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71C0-1DCC-486F-82A9-8C84D8F2A29B}">
  <dimension ref="A1:C6"/>
  <sheetViews>
    <sheetView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7.88671875" bestFit="1" customWidth="1"/>
  </cols>
  <sheetData>
    <row r="1" spans="1:3" x14ac:dyDescent="0.3">
      <c r="A1" s="13" t="s">
        <v>50</v>
      </c>
      <c r="B1" t="s">
        <v>52</v>
      </c>
      <c r="C1" t="s">
        <v>53</v>
      </c>
    </row>
    <row r="2" spans="1:3" x14ac:dyDescent="0.3">
      <c r="A2" s="14" t="s">
        <v>12</v>
      </c>
      <c r="B2">
        <v>94</v>
      </c>
      <c r="C2" s="15">
        <v>0.24415584415584415</v>
      </c>
    </row>
    <row r="3" spans="1:3" x14ac:dyDescent="0.3">
      <c r="A3" s="14" t="s">
        <v>20</v>
      </c>
      <c r="B3">
        <v>25</v>
      </c>
      <c r="C3" s="15">
        <v>6.4935064935064929E-2</v>
      </c>
    </row>
    <row r="4" spans="1:3" x14ac:dyDescent="0.3">
      <c r="A4" s="14" t="s">
        <v>19</v>
      </c>
      <c r="B4">
        <v>52</v>
      </c>
      <c r="C4" s="15">
        <v>0.13506493506493505</v>
      </c>
    </row>
    <row r="5" spans="1:3" x14ac:dyDescent="0.3">
      <c r="A5" s="14" t="s">
        <v>11</v>
      </c>
      <c r="B5">
        <v>214</v>
      </c>
      <c r="C5" s="15">
        <v>0.55584415584415581</v>
      </c>
    </row>
    <row r="6" spans="1:3" x14ac:dyDescent="0.3">
      <c r="A6" s="14" t="s">
        <v>51</v>
      </c>
      <c r="B6">
        <v>385</v>
      </c>
      <c r="C6" s="1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N45"/>
  <sheetViews>
    <sheetView tabSelected="1" topLeftCell="N21" zoomScale="85" zoomScaleNormal="85" workbookViewId="0">
      <selection activeCell="W46" sqref="W46"/>
    </sheetView>
  </sheetViews>
  <sheetFormatPr defaultRowHeight="14.4" x14ac:dyDescent="0.3"/>
  <cols>
    <col min="1" max="1" width="14.109375" customWidth="1"/>
    <col min="2" max="2" width="14.6640625" customWidth="1"/>
    <col min="3" max="3" width="14.21875" customWidth="1"/>
    <col min="9" max="9" width="16.5546875" customWidth="1"/>
    <col min="10" max="10" width="15" customWidth="1"/>
    <col min="12" max="12" width="5.33203125" customWidth="1"/>
    <col min="13" max="13" width="15.21875" customWidth="1"/>
    <col min="15" max="15" width="13.21875" customWidth="1"/>
    <col min="17" max="17" width="6.21875" customWidth="1"/>
    <col min="18" max="18" width="15.44140625" customWidth="1"/>
    <col min="20" max="20" width="16.77734375" customWidth="1"/>
    <col min="23" max="23" width="19.77734375" customWidth="1"/>
    <col min="25" max="25" width="16.33203125" customWidth="1"/>
    <col min="28" max="28" width="19.44140625" customWidth="1"/>
    <col min="29" max="29" width="11.6640625" customWidth="1"/>
    <col min="30" max="30" width="16.21875" customWidth="1"/>
    <col min="33" max="33" width="13.21875" customWidth="1"/>
    <col min="34" max="34" width="15.109375" customWidth="1"/>
    <col min="35" max="35" width="14" customWidth="1"/>
    <col min="38" max="38" width="17.21875" customWidth="1"/>
    <col min="39" max="39" width="15.77734375" customWidth="1"/>
    <col min="40" max="40" width="19.109375" customWidth="1"/>
    <col min="43" max="43" width="18.33203125" customWidth="1"/>
    <col min="44" max="44" width="21.77734375" customWidth="1"/>
    <col min="45" max="45" width="17.44140625" customWidth="1"/>
    <col min="50" max="50" width="17.77734375" customWidth="1"/>
    <col min="51" max="51" width="18.77734375" customWidth="1"/>
    <col min="52" max="52" width="17.5546875" customWidth="1"/>
    <col min="64" max="64" width="14.21875" customWidth="1"/>
    <col min="65" max="65" width="19.77734375" customWidth="1"/>
    <col min="66" max="66" width="17.109375" customWidth="1"/>
  </cols>
  <sheetData>
    <row r="2" spans="1:66" x14ac:dyDescent="0.3">
      <c r="A2" t="s">
        <v>78</v>
      </c>
      <c r="G2" t="s">
        <v>55</v>
      </c>
      <c r="M2" t="s">
        <v>56</v>
      </c>
      <c r="R2" t="s">
        <v>57</v>
      </c>
      <c r="W2" t="s">
        <v>58</v>
      </c>
      <c r="AB2" t="s">
        <v>59</v>
      </c>
      <c r="AF2" t="s">
        <v>60</v>
      </c>
      <c r="AL2" t="s">
        <v>61</v>
      </c>
      <c r="AP2" t="s">
        <v>62</v>
      </c>
      <c r="AU2" t="s">
        <v>63</v>
      </c>
    </row>
    <row r="3" spans="1:66" ht="15" thickBot="1" x14ac:dyDescent="0.35">
      <c r="A3" t="s">
        <v>0</v>
      </c>
      <c r="G3" t="s">
        <v>9</v>
      </c>
      <c r="M3" t="s">
        <v>13</v>
      </c>
      <c r="R3" t="s">
        <v>18</v>
      </c>
      <c r="W3" t="s">
        <v>22</v>
      </c>
      <c r="AB3" t="s">
        <v>28</v>
      </c>
      <c r="AF3" t="s">
        <v>33</v>
      </c>
      <c r="AL3" t="s">
        <v>38</v>
      </c>
      <c r="AP3" t="s">
        <v>43</v>
      </c>
      <c r="AU3" s="16" t="s">
        <v>65</v>
      </c>
    </row>
    <row r="4" spans="1:66" ht="15" thickBot="1" x14ac:dyDescent="0.35">
      <c r="AX4" s="7" t="s">
        <v>64</v>
      </c>
      <c r="AY4" s="11" t="s">
        <v>1</v>
      </c>
      <c r="AZ4" s="12" t="s">
        <v>2</v>
      </c>
      <c r="BD4" t="s">
        <v>66</v>
      </c>
      <c r="BE4" t="str">
        <f>BD5</f>
        <v>Gander</v>
      </c>
      <c r="BL4" t="s">
        <v>70</v>
      </c>
    </row>
    <row r="5" spans="1:66" ht="15" thickBot="1" x14ac:dyDescent="0.35">
      <c r="A5" s="7" t="s">
        <v>8</v>
      </c>
      <c r="B5" s="11" t="s">
        <v>1</v>
      </c>
      <c r="C5" s="12" t="s">
        <v>2</v>
      </c>
      <c r="H5" s="7" t="s">
        <v>10</v>
      </c>
      <c r="I5" s="11" t="s">
        <v>1</v>
      </c>
      <c r="J5" s="12" t="s">
        <v>2</v>
      </c>
      <c r="M5" s="7" t="s">
        <v>8</v>
      </c>
      <c r="N5" s="11" t="s">
        <v>1</v>
      </c>
      <c r="O5" s="12" t="s">
        <v>2</v>
      </c>
      <c r="R5" s="7" t="s">
        <v>21</v>
      </c>
      <c r="S5" s="11" t="s">
        <v>1</v>
      </c>
      <c r="T5" s="12" t="s">
        <v>2</v>
      </c>
      <c r="W5" s="7" t="s">
        <v>23</v>
      </c>
      <c r="X5" s="11" t="s">
        <v>1</v>
      </c>
      <c r="Y5" s="12" t="s">
        <v>2</v>
      </c>
      <c r="AB5" s="7" t="s">
        <v>29</v>
      </c>
      <c r="AC5" s="11" t="s">
        <v>1</v>
      </c>
      <c r="AD5" s="12" t="s">
        <v>2</v>
      </c>
      <c r="AG5" s="7" t="s">
        <v>34</v>
      </c>
      <c r="AH5" s="11" t="s">
        <v>1</v>
      </c>
      <c r="AI5" s="12" t="s">
        <v>2</v>
      </c>
      <c r="AL5" s="7" t="s">
        <v>39</v>
      </c>
      <c r="AM5" s="11" t="s">
        <v>1</v>
      </c>
      <c r="AN5" s="12" t="s">
        <v>2</v>
      </c>
      <c r="AQ5" s="7" t="s">
        <v>44</v>
      </c>
      <c r="AR5" s="11" t="s">
        <v>1</v>
      </c>
      <c r="AS5" s="12" t="s">
        <v>2</v>
      </c>
      <c r="AX5" s="8" t="s">
        <v>37</v>
      </c>
      <c r="AY5" s="1">
        <v>154</v>
      </c>
      <c r="AZ5" s="6">
        <f>AY5/AY9</f>
        <v>0.4</v>
      </c>
      <c r="BD5" t="s">
        <v>67</v>
      </c>
      <c r="BE5" t="str">
        <f>AY4</f>
        <v>frequancy</v>
      </c>
      <c r="BF5" t="str">
        <f>AZ4</f>
        <v>Percentages</v>
      </c>
      <c r="BL5" t="s">
        <v>71</v>
      </c>
    </row>
    <row r="6" spans="1:66" ht="15" thickBot="1" x14ac:dyDescent="0.35">
      <c r="A6" s="8" t="s">
        <v>4</v>
      </c>
      <c r="B6" s="1">
        <v>98</v>
      </c>
      <c r="C6" s="6">
        <f>B6/B10</f>
        <v>0.25454545454545452</v>
      </c>
      <c r="H6" s="8" t="s">
        <v>11</v>
      </c>
      <c r="I6" s="1">
        <v>287</v>
      </c>
      <c r="J6" s="6">
        <f>I6/I8</f>
        <v>0.74545454545454548</v>
      </c>
      <c r="M6" s="8" t="s">
        <v>14</v>
      </c>
      <c r="N6" s="1">
        <v>121</v>
      </c>
      <c r="O6" s="6">
        <f>N6/N10</f>
        <v>0.31428571428571428</v>
      </c>
      <c r="R6" s="8" t="s">
        <v>11</v>
      </c>
      <c r="S6" s="1">
        <v>214</v>
      </c>
      <c r="T6" s="6">
        <f>S6/S10</f>
        <v>0.55584415584415581</v>
      </c>
      <c r="W6" s="8" t="s">
        <v>24</v>
      </c>
      <c r="X6" s="1">
        <v>57</v>
      </c>
      <c r="Y6" s="6">
        <f>X6/X10</f>
        <v>0.14805194805194805</v>
      </c>
      <c r="AB6" s="8" t="s">
        <v>30</v>
      </c>
      <c r="AC6" s="1">
        <v>199</v>
      </c>
      <c r="AD6" s="6">
        <f>AC6/AC10</f>
        <v>0.51688311688311683</v>
      </c>
      <c r="AG6" s="8" t="s">
        <v>49</v>
      </c>
      <c r="AH6" s="1">
        <v>103</v>
      </c>
      <c r="AI6" s="6">
        <f>AH6/AH10</f>
        <v>0.26753246753246751</v>
      </c>
      <c r="AL6" s="8" t="s">
        <v>40</v>
      </c>
      <c r="AM6" s="1">
        <f>271+37</f>
        <v>308</v>
      </c>
      <c r="AN6" s="6">
        <f>AM6/AM10</f>
        <v>0.8</v>
      </c>
      <c r="AQ6" s="8" t="s">
        <v>45</v>
      </c>
      <c r="AR6" s="1">
        <v>12</v>
      </c>
      <c r="AS6" s="6">
        <f>AR6/AR10</f>
        <v>3.1168831168831169E-2</v>
      </c>
      <c r="AX6" s="8" t="s">
        <v>35</v>
      </c>
      <c r="AY6" s="2">
        <v>131</v>
      </c>
      <c r="AZ6" s="3">
        <f>AY6/385</f>
        <v>0.34025974025974026</v>
      </c>
      <c r="BD6" t="s">
        <v>68</v>
      </c>
      <c r="BE6">
        <f>164+33</f>
        <v>197</v>
      </c>
      <c r="BF6">
        <f>BE6/BE9</f>
        <v>0.51168831168831164</v>
      </c>
    </row>
    <row r="7" spans="1:66" ht="15" thickBot="1" x14ac:dyDescent="0.35">
      <c r="A7" s="9" t="s">
        <v>5</v>
      </c>
      <c r="B7" s="2">
        <v>61</v>
      </c>
      <c r="C7" s="3">
        <f>B7/385</f>
        <v>0.15844155844155844</v>
      </c>
      <c r="H7" s="9" t="s">
        <v>12</v>
      </c>
      <c r="I7" s="2">
        <v>98</v>
      </c>
      <c r="J7" s="3">
        <f>I7/385</f>
        <v>0.25454545454545452</v>
      </c>
      <c r="M7" s="9" t="s">
        <v>15</v>
      </c>
      <c r="N7" s="2">
        <v>90</v>
      </c>
      <c r="O7" s="3">
        <f>N7/385</f>
        <v>0.23376623376623376</v>
      </c>
      <c r="R7" s="9" t="s">
        <v>12</v>
      </c>
      <c r="S7" s="2">
        <v>94</v>
      </c>
      <c r="T7" s="3">
        <f>S7/385</f>
        <v>0.24415584415584415</v>
      </c>
      <c r="W7" s="9" t="s">
        <v>25</v>
      </c>
      <c r="X7" s="2">
        <v>75</v>
      </c>
      <c r="Y7" s="3">
        <f>X7/385</f>
        <v>0.19480519480519481</v>
      </c>
      <c r="AB7" s="9" t="s">
        <v>31</v>
      </c>
      <c r="AC7" s="2">
        <v>66</v>
      </c>
      <c r="AD7" s="3">
        <f>AC7/385</f>
        <v>0.17142857142857143</v>
      </c>
      <c r="AG7" s="9" t="s">
        <v>35</v>
      </c>
      <c r="AH7" s="2">
        <v>115</v>
      </c>
      <c r="AI7" s="3">
        <f>AH7/385</f>
        <v>0.29870129870129869</v>
      </c>
      <c r="AL7" s="9" t="s">
        <v>41</v>
      </c>
      <c r="AM7" s="2">
        <v>33</v>
      </c>
      <c r="AN7" s="3">
        <f>AM7/385</f>
        <v>8.5714285714285715E-2</v>
      </c>
      <c r="AQ7" s="9" t="s">
        <v>46</v>
      </c>
      <c r="AR7" s="2">
        <v>307</v>
      </c>
      <c r="AS7" s="3">
        <f>AR7/385</f>
        <v>0.79740259740259745</v>
      </c>
      <c r="AX7" s="8" t="s">
        <v>49</v>
      </c>
      <c r="AY7" s="2">
        <v>57</v>
      </c>
      <c r="AZ7" s="3">
        <f t="shared" ref="AZ7:AZ8" si="0">AY7/385</f>
        <v>0.14805194805194805</v>
      </c>
      <c r="BD7" t="s">
        <v>69</v>
      </c>
      <c r="BE7">
        <v>185</v>
      </c>
      <c r="BL7" s="7" t="s">
        <v>72</v>
      </c>
      <c r="BM7" s="11" t="s">
        <v>1</v>
      </c>
      <c r="BN7" s="12" t="s">
        <v>2</v>
      </c>
    </row>
    <row r="8" spans="1:66" x14ac:dyDescent="0.3">
      <c r="A8" s="8" t="s">
        <v>6</v>
      </c>
      <c r="B8" s="2">
        <v>36</v>
      </c>
      <c r="C8" s="3">
        <f t="shared" ref="C8:C9" si="1">B8/385</f>
        <v>9.350649350649351E-2</v>
      </c>
      <c r="H8" s="8" t="s">
        <v>3</v>
      </c>
      <c r="I8" s="2">
        <v>385</v>
      </c>
      <c r="J8" s="3">
        <v>1</v>
      </c>
      <c r="M8" s="8" t="s">
        <v>16</v>
      </c>
      <c r="N8" s="2">
        <v>137</v>
      </c>
      <c r="O8" s="3">
        <f t="shared" ref="O8:O9" si="2">N8/385</f>
        <v>0.35584415584415585</v>
      </c>
      <c r="R8" s="8" t="s">
        <v>19</v>
      </c>
      <c r="S8" s="2">
        <v>52</v>
      </c>
      <c r="T8" s="3">
        <f t="shared" ref="T8:T9" si="3">S8/385</f>
        <v>0.13506493506493505</v>
      </c>
      <c r="W8" s="8" t="s">
        <v>26</v>
      </c>
      <c r="X8" s="2">
        <v>73</v>
      </c>
      <c r="Y8" s="3">
        <f t="shared" ref="Y8:Y9" si="4">X8/385</f>
        <v>0.18961038961038962</v>
      </c>
      <c r="AB8" s="8" t="s">
        <v>32</v>
      </c>
      <c r="AC8" s="2">
        <v>75</v>
      </c>
      <c r="AD8" s="3">
        <f t="shared" ref="AD8:AD9" si="5">AC8/385</f>
        <v>0.19480519480519481</v>
      </c>
      <c r="AG8" s="8" t="s">
        <v>36</v>
      </c>
      <c r="AH8" s="2">
        <v>106</v>
      </c>
      <c r="AI8" s="3">
        <f t="shared" ref="AI8:AI9" si="6">AH8/385</f>
        <v>0.27532467532467531</v>
      </c>
      <c r="AL8" s="8" t="s">
        <v>42</v>
      </c>
      <c r="AM8" s="2">
        <v>37</v>
      </c>
      <c r="AN8" s="3">
        <f t="shared" ref="AN8:AN9" si="7">AM8/385</f>
        <v>9.6103896103896108E-2</v>
      </c>
      <c r="AQ8" s="8" t="s">
        <v>47</v>
      </c>
      <c r="AR8" s="2">
        <v>5</v>
      </c>
      <c r="AS8" s="3">
        <f t="shared" ref="AS8:AS9" si="8">AR8/385</f>
        <v>1.2987012987012988E-2</v>
      </c>
      <c r="AX8" s="8" t="s">
        <v>36</v>
      </c>
      <c r="AY8" s="2">
        <v>43</v>
      </c>
      <c r="AZ8" s="3">
        <f t="shared" si="0"/>
        <v>0.11168831168831168</v>
      </c>
      <c r="BD8" t="s">
        <v>48</v>
      </c>
      <c r="BE8">
        <v>1</v>
      </c>
      <c r="BL8" s="19" t="s">
        <v>73</v>
      </c>
      <c r="BM8" s="1">
        <v>6</v>
      </c>
      <c r="BN8" s="6">
        <f>BM8/BM12</f>
        <v>1.5584415584415584E-2</v>
      </c>
    </row>
    <row r="9" spans="1:66" x14ac:dyDescent="0.3">
      <c r="A9" s="8" t="s">
        <v>7</v>
      </c>
      <c r="B9" s="2">
        <v>190</v>
      </c>
      <c r="C9" s="3">
        <f t="shared" si="1"/>
        <v>0.4935064935064935</v>
      </c>
      <c r="H9" s="8"/>
      <c r="I9" s="2"/>
      <c r="J9" s="3"/>
      <c r="M9" s="8" t="s">
        <v>17</v>
      </c>
      <c r="N9" s="2">
        <v>37</v>
      </c>
      <c r="O9" s="3">
        <f t="shared" si="2"/>
        <v>9.6103896103896108E-2</v>
      </c>
      <c r="R9" s="8" t="s">
        <v>20</v>
      </c>
      <c r="S9" s="2">
        <v>25</v>
      </c>
      <c r="T9" s="3">
        <f t="shared" si="3"/>
        <v>6.4935064935064929E-2</v>
      </c>
      <c r="W9" s="8" t="s">
        <v>27</v>
      </c>
      <c r="X9" s="2">
        <v>180</v>
      </c>
      <c r="Y9" s="3">
        <f t="shared" si="4"/>
        <v>0.46753246753246752</v>
      </c>
      <c r="AB9" s="8" t="s">
        <v>20</v>
      </c>
      <c r="AC9" s="2">
        <v>45</v>
      </c>
      <c r="AD9" s="3">
        <f t="shared" si="5"/>
        <v>0.11688311688311688</v>
      </c>
      <c r="AG9" s="8" t="s">
        <v>37</v>
      </c>
      <c r="AH9" s="2">
        <v>61</v>
      </c>
      <c r="AI9" s="3">
        <f t="shared" si="6"/>
        <v>0.15844155844155844</v>
      </c>
      <c r="AL9" s="8" t="s">
        <v>77</v>
      </c>
      <c r="AM9" s="2">
        <v>7</v>
      </c>
      <c r="AN9" s="3">
        <f t="shared" si="7"/>
        <v>1.8181818181818181E-2</v>
      </c>
      <c r="AQ9" s="8" t="s">
        <v>48</v>
      </c>
      <c r="AR9" s="2">
        <v>61</v>
      </c>
      <c r="AS9" s="3">
        <f t="shared" si="8"/>
        <v>0.15844155844155844</v>
      </c>
      <c r="AX9" s="2" t="s">
        <v>3</v>
      </c>
      <c r="AY9" s="17">
        <f>SUM(AY5:AY8)</f>
        <v>385</v>
      </c>
      <c r="AZ9" s="18">
        <f>SUM(AZ5:AZ8)</f>
        <v>1</v>
      </c>
      <c r="BD9" t="s">
        <v>3</v>
      </c>
      <c r="BE9">
        <v>385</v>
      </c>
      <c r="BL9" s="9" t="s">
        <v>74</v>
      </c>
      <c r="BM9" s="2">
        <v>170</v>
      </c>
      <c r="BN9" s="3">
        <f>BM9/385</f>
        <v>0.44155844155844154</v>
      </c>
    </row>
    <row r="10" spans="1:66" ht="15" thickBot="1" x14ac:dyDescent="0.35">
      <c r="A10" s="10" t="s">
        <v>3</v>
      </c>
      <c r="B10" s="4">
        <f>SUM(B6:B9)</f>
        <v>385</v>
      </c>
      <c r="C10" s="5">
        <v>0.99999999999999989</v>
      </c>
      <c r="H10" s="10"/>
      <c r="I10" s="4"/>
      <c r="J10" s="5"/>
      <c r="M10" s="10" t="s">
        <v>3</v>
      </c>
      <c r="N10" s="4">
        <f>SUM(N6:N9)</f>
        <v>385</v>
      </c>
      <c r="O10" s="5">
        <v>0.99999999999999989</v>
      </c>
      <c r="R10" s="10" t="s">
        <v>3</v>
      </c>
      <c r="S10" s="4">
        <f>SUM(S6:S9)</f>
        <v>385</v>
      </c>
      <c r="T10" s="5">
        <v>0.99999999999999989</v>
      </c>
      <c r="W10" s="10" t="s">
        <v>3</v>
      </c>
      <c r="X10" s="4">
        <f>SUM(X6:X9)</f>
        <v>385</v>
      </c>
      <c r="Y10" s="5">
        <v>0.99999999999999989</v>
      </c>
      <c r="AB10" s="10" t="s">
        <v>3</v>
      </c>
      <c r="AC10" s="4">
        <f>SUM(AC6:AC9)</f>
        <v>385</v>
      </c>
      <c r="AD10" s="5">
        <v>0.99999999999999989</v>
      </c>
      <c r="AG10" s="10" t="s">
        <v>3</v>
      </c>
      <c r="AH10" s="4">
        <f>SUM(AH6:AH9)</f>
        <v>385</v>
      </c>
      <c r="AI10" s="5">
        <v>0.99999999999999989</v>
      </c>
      <c r="AL10" s="10" t="s">
        <v>3</v>
      </c>
      <c r="AM10" s="4">
        <f>SUM(AM6:AM9)</f>
        <v>385</v>
      </c>
      <c r="AN10" s="5">
        <v>0.99999999999999989</v>
      </c>
      <c r="AQ10" s="10" t="s">
        <v>3</v>
      </c>
      <c r="AR10" s="4">
        <f>SUM(AR6:AR9)</f>
        <v>385</v>
      </c>
      <c r="AS10" s="5">
        <v>0.99999999999999989</v>
      </c>
      <c r="BL10" s="8" t="s">
        <v>76</v>
      </c>
      <c r="BM10" s="2">
        <v>197</v>
      </c>
      <c r="BN10" s="3">
        <f t="shared" ref="BN10:BN11" si="9">BM10/385</f>
        <v>0.51168831168831164</v>
      </c>
    </row>
    <row r="11" spans="1:66" x14ac:dyDescent="0.3">
      <c r="BL11" s="8" t="s">
        <v>75</v>
      </c>
      <c r="BM11" s="2">
        <v>12</v>
      </c>
      <c r="BN11" s="3">
        <f t="shared" si="9"/>
        <v>3.1168831168831169E-2</v>
      </c>
    </row>
    <row r="12" spans="1:66" ht="15" thickBot="1" x14ac:dyDescent="0.35">
      <c r="BL12" s="10" t="s">
        <v>3</v>
      </c>
      <c r="BM12" s="4">
        <f>SUM(BM8:BM11)</f>
        <v>385</v>
      </c>
      <c r="BN12" s="5">
        <v>0.99999999999999989</v>
      </c>
    </row>
    <row r="30" spans="26:28" x14ac:dyDescent="0.3">
      <c r="Z30">
        <v>0.22559999999999999</v>
      </c>
      <c r="AA30">
        <v>0.123</v>
      </c>
      <c r="AB30">
        <f>Z30-AA30</f>
        <v>0.1026</v>
      </c>
    </row>
    <row r="31" spans="26:28" x14ac:dyDescent="0.3">
      <c r="Z31">
        <v>0.15840000000000001</v>
      </c>
      <c r="AA31">
        <f>(1-Z31)</f>
        <v>0.84160000000000001</v>
      </c>
    </row>
    <row r="32" spans="26:28" x14ac:dyDescent="0.3">
      <c r="AA32" s="21" t="s">
        <v>79</v>
      </c>
      <c r="AB32">
        <f>1/33</f>
        <v>3.0303030303030304E-2</v>
      </c>
    </row>
    <row r="33" spans="23:28" x14ac:dyDescent="0.3">
      <c r="AA33" t="s">
        <v>80</v>
      </c>
      <c r="AB33">
        <f>1/252</f>
        <v>3.968253968253968E-3</v>
      </c>
    </row>
    <row r="34" spans="23:28" x14ac:dyDescent="0.3">
      <c r="W34" s="20"/>
    </row>
    <row r="36" spans="23:28" x14ac:dyDescent="0.3">
      <c r="AA36">
        <f>AB30/(Z31*(AA31)*(AB32+AB33))</f>
        <v>22.45722433460076</v>
      </c>
    </row>
    <row r="37" spans="23:28" x14ac:dyDescent="0.3">
      <c r="Y37">
        <f>30/133</f>
        <v>0.22556390977443608</v>
      </c>
    </row>
    <row r="38" spans="23:28" x14ac:dyDescent="0.3">
      <c r="Y38">
        <f>31/252</f>
        <v>0.12301587301587301</v>
      </c>
    </row>
    <row r="39" spans="23:28" x14ac:dyDescent="0.3">
      <c r="Y39">
        <f>(30+31)/(385)</f>
        <v>0.15844155844155844</v>
      </c>
    </row>
    <row r="40" spans="23:28" x14ac:dyDescent="0.3">
      <c r="Y40">
        <f>1-Y39</f>
        <v>0.84155844155844162</v>
      </c>
    </row>
    <row r="43" spans="23:28" x14ac:dyDescent="0.3">
      <c r="X43">
        <f>Y37-Y38</f>
        <v>0.10254803675856307</v>
      </c>
      <c r="Z43">
        <f>(1/133)</f>
        <v>7.5187969924812026E-3</v>
      </c>
    </row>
    <row r="44" spans="23:28" x14ac:dyDescent="0.3">
      <c r="Z44">
        <f>1/252</f>
        <v>3.968253968253968E-3</v>
      </c>
    </row>
    <row r="45" spans="23:28" x14ac:dyDescent="0.3">
      <c r="W45">
        <f>X43/Y45</f>
        <v>2.6202720444555587</v>
      </c>
      <c r="Y45">
        <f>SQRT(Y39*Y40*(Z43+Z44))</f>
        <v>3.9136408364754564E-2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PATIL GANESH PANDIT</cp:lastModifiedBy>
  <dcterms:created xsi:type="dcterms:W3CDTF">2015-06-05T18:17:20Z</dcterms:created>
  <dcterms:modified xsi:type="dcterms:W3CDTF">2025-03-07T21:36:15Z</dcterms:modified>
</cp:coreProperties>
</file>